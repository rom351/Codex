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 Сонечк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sz val="12"/>
    </font>
    <font>
      <name val="Arial"/>
      <sz val="12"/>
    </font>
    <font>
      <name val="Arial"/>
      <b val="1"/>
      <color rgb="00FFFFFF"/>
      <sz val="12"/>
    </font>
    <font>
      <name val="Arial"/>
      <b val="1"/>
      <color rgb="00475569"/>
      <sz val="11"/>
    </font>
    <font>
      <name val="Arial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4F46E5"/>
      </patternFill>
    </fill>
    <fill>
      <patternFill patternType="solid">
        <fgColor rgb="00F8FAFC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49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22" customWidth="1" min="4" max="4"/>
    <col width="22" customWidth="1" min="5" max="5"/>
    <col width="20" customWidth="1" min="6" max="6"/>
    <col width="16" customWidth="1" min="7" max="7"/>
    <col width="14" customWidth="1" min="8" max="8"/>
  </cols>
  <sheetData>
    <row r="1" ht="30" customHeight="1">
      <c r="A1" s="1" t="inlineStr">
        <is>
          <t>Первинні дані: ТОВ "СОНЕЧКО"</t>
        </is>
      </c>
    </row>
    <row r="3">
      <c r="A3" s="2" t="inlineStr">
        <is>
          <t>Повна назва</t>
        </is>
      </c>
      <c r="B3" s="3" t="inlineStr">
        <is>
          <t>ТОВ "СОНЕЧКО"</t>
        </is>
      </c>
      <c r="C3" s="4" t="n"/>
      <c r="D3" s="4" t="n"/>
    </row>
    <row r="4">
      <c r="A4" s="2" t="inlineStr">
        <is>
          <t>Код ЄДРПОУ</t>
        </is>
      </c>
      <c r="B4" s="3" t="inlineStr">
        <is>
          <t>12345678</t>
        </is>
      </c>
      <c r="C4" s="4" t="n"/>
      <c r="D4" s="4" t="n"/>
    </row>
    <row r="5">
      <c r="A5" s="2" t="inlineStr">
        <is>
          <t>Юридична адреса</t>
        </is>
      </c>
      <c r="B5" s="3" t="inlineStr">
        <is>
          <t>м. Київ, вул. Сонячна, 1, оф. 12</t>
        </is>
      </c>
      <c r="C5" s="4" t="n"/>
      <c r="D5" s="4" t="n"/>
    </row>
    <row r="6">
      <c r="A6" s="2" t="inlineStr">
        <is>
          <t>Телефон</t>
        </is>
      </c>
      <c r="B6" s="3" t="inlineStr">
        <is>
          <t>+38 (000) 000-00-00</t>
        </is>
      </c>
      <c r="C6" s="4" t="n"/>
      <c r="D6" s="4" t="n"/>
    </row>
    <row r="7">
      <c r="A7" s="2" t="inlineStr">
        <is>
          <t>IBAN</t>
        </is>
      </c>
      <c r="B7" s="3" t="inlineStr">
        <is>
          <t>UA00 0000 0000 0000 0000 0000 0000 0</t>
        </is>
      </c>
      <c r="C7" s="4" t="n"/>
      <c r="D7" s="4" t="n"/>
    </row>
    <row r="8">
      <c r="A8" s="2" t="inlineStr">
        <is>
          <t>Платник ПДВ</t>
        </is>
      </c>
      <c r="B8" s="3" t="inlineStr">
        <is>
          <t>Так</t>
        </is>
      </c>
      <c r="C8" s="4" t="n"/>
      <c r="D8" s="4" t="n"/>
    </row>
    <row r="9">
      <c r="A9" s="2" t="inlineStr">
        <is>
          <t>Контрагент (покупець)</t>
        </is>
      </c>
      <c r="B9" s="3" t="inlineStr">
        <is>
          <t>ФОП Безіменний</t>
        </is>
      </c>
      <c r="C9" s="4" t="n"/>
      <c r="D9" s="4" t="n"/>
    </row>
    <row r="10">
      <c r="A10" s="2" t="inlineStr">
        <is>
          <t>Підстава</t>
        </is>
      </c>
      <c r="B10" s="3" t="inlineStr">
        <is>
          <t>Рахунок_101</t>
        </is>
      </c>
      <c r="C10" s="4" t="n"/>
      <c r="D10" s="4" t="n"/>
    </row>
    <row r="11">
      <c r="A11" s="2" t="inlineStr">
        <is>
          <t>Дата</t>
        </is>
      </c>
      <c r="B11" s="3" t="inlineStr">
        <is>
          <t>06.10.2026</t>
        </is>
      </c>
      <c r="C11" s="4" t="n"/>
      <c r="D11" s="4" t="n"/>
    </row>
    <row r="13" ht="48" customHeight="1">
      <c r="A13" s="5" t="inlineStr">
        <is>
          <t>№</t>
        </is>
      </c>
      <c r="B13" s="5" t="inlineStr">
        <is>
          <t>Товар</t>
        </is>
      </c>
      <c r="C13" s="5" t="inlineStr">
        <is>
          <t>Кількість, шт</t>
        </is>
      </c>
      <c r="D13" s="5" t="inlineStr">
        <is>
          <t>Собівартість за 1 шт, грн</t>
        </is>
      </c>
      <c r="E13" s="5" t="inlineStr">
        <is>
          <t>Ціна продажу за 1 шт, грн</t>
        </is>
      </c>
      <c r="F13" s="5" t="inlineStr">
        <is>
          <t>Сума продажу, грн</t>
        </is>
      </c>
      <c r="G13" s="5" t="inlineStr">
        <is>
          <t>Маржа, грн</t>
        </is>
      </c>
      <c r="H13" s="5" t="inlineStr">
        <is>
          <t>Маржа, %</t>
        </is>
      </c>
    </row>
    <row r="14">
      <c r="A14" s="6" t="n">
        <v>1</v>
      </c>
      <c r="B14" s="7" t="inlineStr">
        <is>
          <t>Велосипед</t>
        </is>
      </c>
      <c r="C14" s="6" t="n">
        <v>3</v>
      </c>
      <c r="D14" s="8" t="n">
        <v>1</v>
      </c>
      <c r="E14" s="8" t="n">
        <v>2</v>
      </c>
      <c r="F14" s="8">
        <f>C14*E14</f>
        <v/>
      </c>
      <c r="G14" s="8">
        <f>(E14-D14)*C14</f>
        <v/>
      </c>
      <c r="H14" s="9">
        <f>IFERROR((E14-D14)/E14,0)</f>
        <v/>
      </c>
    </row>
    <row r="15">
      <c r="A15" s="10" t="n">
        <v>2</v>
      </c>
      <c r="B15" s="11" t="inlineStr">
        <is>
          <t>Шолом велосипедний</t>
        </is>
      </c>
      <c r="C15" s="10" t="n">
        <v>6</v>
      </c>
      <c r="D15" s="12" t="n">
        <v>1</v>
      </c>
      <c r="E15" s="12" t="n">
        <v>2</v>
      </c>
      <c r="F15" s="12">
        <f>C15*E15</f>
        <v/>
      </c>
      <c r="G15" s="12">
        <f>(E15-D15)*C15</f>
        <v/>
      </c>
      <c r="H15" s="13">
        <f>IFERROR((E15-D15)/E15,0)</f>
        <v/>
      </c>
    </row>
    <row r="16">
      <c r="A16" s="6" t="n">
        <v>3</v>
      </c>
      <c r="B16" s="7" t="inlineStr">
        <is>
          <t>Дзвінок</t>
        </is>
      </c>
      <c r="C16" s="6" t="n">
        <v>12</v>
      </c>
      <c r="D16" s="8" t="n">
        <v>1</v>
      </c>
      <c r="E16" s="8" t="n">
        <v>2</v>
      </c>
      <c r="F16" s="8">
        <f>C16*E16</f>
        <v/>
      </c>
      <c r="G16" s="8">
        <f>(E16-D16)*C16</f>
        <v/>
      </c>
      <c r="H16" s="9">
        <f>IFERROR((E16-D16)/E16,0)</f>
        <v/>
      </c>
    </row>
    <row r="17">
      <c r="A17" s="10" t="n">
        <v>4</v>
      </c>
      <c r="B17" s="11" t="inlineStr">
        <is>
          <t>Насос ручний</t>
        </is>
      </c>
      <c r="C17" s="10" t="n">
        <v>5</v>
      </c>
      <c r="D17" s="12" t="n">
        <v>2</v>
      </c>
      <c r="E17" s="12" t="n">
        <v>3</v>
      </c>
      <c r="F17" s="12">
        <f>C17*E17</f>
        <v/>
      </c>
      <c r="G17" s="12">
        <f>(E17-D17)*C17</f>
        <v/>
      </c>
      <c r="H17" s="13">
        <f>IFERROR((E17-D17)/E17,0)</f>
        <v/>
      </c>
    </row>
    <row r="18">
      <c r="A18" s="6" t="n">
        <v>5</v>
      </c>
      <c r="B18" s="7" t="inlineStr">
        <is>
          <t>Замок велосипедний</t>
        </is>
      </c>
      <c r="C18" s="6" t="n">
        <v>8</v>
      </c>
      <c r="D18" s="8" t="n">
        <v>2</v>
      </c>
      <c r="E18" s="8" t="n">
        <v>4</v>
      </c>
      <c r="F18" s="8">
        <f>C18*E18</f>
        <v/>
      </c>
      <c r="G18" s="8">
        <f>(E18-D18)*C18</f>
        <v/>
      </c>
      <c r="H18" s="9">
        <f>IFERROR((E18-D18)/E18,0)</f>
        <v/>
      </c>
    </row>
    <row r="19">
      <c r="A19" s="10" t="n">
        <v>6</v>
      </c>
      <c r="B19" s="11" t="inlineStr">
        <is>
          <t>Ліхтар передній</t>
        </is>
      </c>
      <c r="C19" s="10" t="n">
        <v>10</v>
      </c>
      <c r="D19" s="12" t="n">
        <v>1</v>
      </c>
      <c r="E19" s="12" t="n">
        <v>3</v>
      </c>
      <c r="F19" s="12">
        <f>C19*E19</f>
        <v/>
      </c>
      <c r="G19" s="12">
        <f>(E19-D19)*C19</f>
        <v/>
      </c>
      <c r="H19" s="13">
        <f>IFERROR((E19-D19)/E19,0)</f>
        <v/>
      </c>
    </row>
    <row r="20">
      <c r="A20" s="6" t="n">
        <v>7</v>
      </c>
      <c r="B20" s="7" t="inlineStr">
        <is>
          <t>Ліхтар задній</t>
        </is>
      </c>
      <c r="C20" s="6" t="n">
        <v>10</v>
      </c>
      <c r="D20" s="8" t="n">
        <v>1</v>
      </c>
      <c r="E20" s="8" t="n">
        <v>2</v>
      </c>
      <c r="F20" s="8">
        <f>C20*E20</f>
        <v/>
      </c>
      <c r="G20" s="8">
        <f>(E20-D20)*C20</f>
        <v/>
      </c>
      <c r="H20" s="9">
        <f>IFERROR((E20-D20)/E20,0)</f>
        <v/>
      </c>
    </row>
    <row r="21">
      <c r="A21" s="10" t="n">
        <v>8</v>
      </c>
      <c r="B21" s="11" t="inlineStr">
        <is>
          <t>Крило переднє</t>
        </is>
      </c>
      <c r="C21" s="10" t="n">
        <v>7</v>
      </c>
      <c r="D21" s="12" t="n">
        <v>1</v>
      </c>
      <c r="E21" s="12" t="n">
        <v>2</v>
      </c>
      <c r="F21" s="12">
        <f>C21*E21</f>
        <v/>
      </c>
      <c r="G21" s="12">
        <f>(E21-D21)*C21</f>
        <v/>
      </c>
      <c r="H21" s="13">
        <f>IFERROR((E21-D21)/E21,0)</f>
        <v/>
      </c>
    </row>
    <row r="22">
      <c r="A22" s="6" t="n">
        <v>9</v>
      </c>
      <c r="B22" s="7" t="inlineStr">
        <is>
          <t>Багажник</t>
        </is>
      </c>
      <c r="C22" s="6" t="n">
        <v>4</v>
      </c>
      <c r="D22" s="8" t="n">
        <v>3</v>
      </c>
      <c r="E22" s="8" t="n">
        <v>5</v>
      </c>
      <c r="F22" s="8">
        <f>C22*E22</f>
        <v/>
      </c>
      <c r="G22" s="8">
        <f>(E22-D22)*C22</f>
        <v/>
      </c>
      <c r="H22" s="9">
        <f>IFERROR((E22-D22)/E22,0)</f>
        <v/>
      </c>
    </row>
    <row r="23">
      <c r="A23" s="10" t="n">
        <v>10</v>
      </c>
      <c r="B23" s="11" t="inlineStr">
        <is>
          <t>Кошик на кермо</t>
        </is>
      </c>
      <c r="C23" s="10" t="n">
        <v>4</v>
      </c>
      <c r="D23" s="12" t="n">
        <v>2</v>
      </c>
      <c r="E23" s="12" t="n">
        <v>4</v>
      </c>
      <c r="F23" s="12">
        <f>C23*E23</f>
        <v/>
      </c>
      <c r="G23" s="12">
        <f>(E23-D23)*C23</f>
        <v/>
      </c>
      <c r="H23" s="13">
        <f>IFERROR((E23-D23)/E23,0)</f>
        <v/>
      </c>
    </row>
    <row r="24">
      <c r="A24" s="6" t="n">
        <v>11</v>
      </c>
      <c r="B24" s="7" t="inlineStr">
        <is>
          <t>Камера 26"</t>
        </is>
      </c>
      <c r="C24" s="6" t="n">
        <v>15</v>
      </c>
      <c r="D24" s="8" t="n">
        <v>1</v>
      </c>
      <c r="E24" s="8" t="n">
        <v>2</v>
      </c>
      <c r="F24" s="8">
        <f>C24*E24</f>
        <v/>
      </c>
      <c r="G24" s="8">
        <f>(E24-D24)*C24</f>
        <v/>
      </c>
      <c r="H24" s="9">
        <f>IFERROR((E24-D24)/E24,0)</f>
        <v/>
      </c>
    </row>
    <row r="25">
      <c r="A25" s="10" t="n">
        <v>12</v>
      </c>
      <c r="B25" s="11" t="inlineStr">
        <is>
          <t>Покришка 26"</t>
        </is>
      </c>
      <c r="C25" s="10" t="n">
        <v>12</v>
      </c>
      <c r="D25" s="12" t="n">
        <v>3</v>
      </c>
      <c r="E25" s="12" t="n">
        <v>5</v>
      </c>
      <c r="F25" s="12">
        <f>C25*E25</f>
        <v/>
      </c>
      <c r="G25" s="12">
        <f>(E25-D25)*C25</f>
        <v/>
      </c>
      <c r="H25" s="13">
        <f>IFERROR((E25-D25)/E25,0)</f>
        <v/>
      </c>
    </row>
    <row r="26">
      <c r="A26" s="6" t="n">
        <v>13</v>
      </c>
      <c r="B26" s="7" t="inlineStr">
        <is>
          <t>Ланцюг</t>
        </is>
      </c>
      <c r="C26" s="6" t="n">
        <v>9</v>
      </c>
      <c r="D26" s="8" t="n">
        <v>2</v>
      </c>
      <c r="E26" s="8" t="n">
        <v>3</v>
      </c>
      <c r="F26" s="8">
        <f>C26*E26</f>
        <v/>
      </c>
      <c r="G26" s="8">
        <f>(E26-D26)*C26</f>
        <v/>
      </c>
      <c r="H26" s="9">
        <f>IFERROR((E26-D26)/E26,0)</f>
        <v/>
      </c>
    </row>
    <row r="27">
      <c r="A27" s="10" t="n">
        <v>14</v>
      </c>
      <c r="B27" s="11" t="inlineStr">
        <is>
          <t>Педалі (пара)</t>
        </is>
      </c>
      <c r="C27" s="10" t="n">
        <v>6</v>
      </c>
      <c r="D27" s="12" t="n">
        <v>2</v>
      </c>
      <c r="E27" s="12" t="n">
        <v>4</v>
      </c>
      <c r="F27" s="12">
        <f>C27*E27</f>
        <v/>
      </c>
      <c r="G27" s="12">
        <f>(E27-D27)*C27</f>
        <v/>
      </c>
      <c r="H27" s="13">
        <f>IFERROR((E27-D27)/E27,0)</f>
        <v/>
      </c>
    </row>
    <row r="28">
      <c r="A28" s="6" t="n">
        <v>15</v>
      </c>
      <c r="B28" s="7" t="inlineStr">
        <is>
          <t>Сідло</t>
        </is>
      </c>
      <c r="C28" s="6" t="n">
        <v>6</v>
      </c>
      <c r="D28" s="8" t="n">
        <v>2</v>
      </c>
      <c r="E28" s="8" t="n">
        <v>3</v>
      </c>
      <c r="F28" s="8">
        <f>C28*E28</f>
        <v/>
      </c>
      <c r="G28" s="8">
        <f>(E28-D28)*C28</f>
        <v/>
      </c>
      <c r="H28" s="9">
        <f>IFERROR((E28-D28)/E28,0)</f>
        <v/>
      </c>
    </row>
    <row r="29">
      <c r="A29" s="10" t="n">
        <v>16</v>
      </c>
      <c r="B29" s="11" t="inlineStr">
        <is>
          <t>Дзеркало заднього виду</t>
        </is>
      </c>
      <c r="C29" s="10" t="n">
        <v>8</v>
      </c>
      <c r="D29" s="12" t="n">
        <v>1</v>
      </c>
      <c r="E29" s="12" t="n">
        <v>2</v>
      </c>
      <c r="F29" s="12">
        <f>C29*E29</f>
        <v/>
      </c>
      <c r="G29" s="12">
        <f>(E29-D29)*C29</f>
        <v/>
      </c>
      <c r="H29" s="13">
        <f>IFERROR((E29-D29)/E29,0)</f>
        <v/>
      </c>
    </row>
    <row r="30">
      <c r="A30" s="14" t="inlineStr">
        <is>
          <t>Разом</t>
        </is>
      </c>
      <c r="B30" s="14" t="n"/>
      <c r="C30" s="15">
        <f>SUM(C14:C29)</f>
        <v/>
      </c>
      <c r="D30" s="15" t="n"/>
      <c r="E30" s="15" t="n"/>
      <c r="F30" s="16">
        <f>SUM(F14:F29)</f>
        <v/>
      </c>
      <c r="G30" s="16">
        <f>SUM(G14:G29)</f>
        <v/>
      </c>
      <c r="H30" s="17">
        <f>IFERROR(G30/F30,0)</f>
        <v/>
      </c>
    </row>
    <row r="32">
      <c r="A32" s="18" t="inlineStr">
        <is>
          <t>Примітки</t>
        </is>
      </c>
    </row>
    <row r="33">
      <c r="A33" s="19" t="inlineStr">
        <is>
          <t>Усі дані, окрім рядка «Велосипед» (3 шт, собівартість 1 грн, ціна 2 грн зі сценарію), вигадані для демонстрації.</t>
        </is>
      </c>
    </row>
    <row r="34">
      <c r="A34" s="19" t="inlineStr">
        <is>
          <t>Собівартість і ціна вказані за одну штуку (припущення). Код ЄДРПОУ, IBAN і телефон — не реальні.</t>
        </is>
      </c>
    </row>
  </sheetData>
  <mergeCells count="11">
    <mergeCell ref="B10:D10"/>
    <mergeCell ref="B11:D11"/>
    <mergeCell ref="B3:D3"/>
    <mergeCell ref="B5:D5"/>
    <mergeCell ref="A30:B30"/>
    <mergeCell ref="B8:D8"/>
    <mergeCell ref="B4:D4"/>
    <mergeCell ref="B9:D9"/>
    <mergeCell ref="A1:H1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2026-10-06T19:31:35Z</dcterms:created>
  <dcterms:modified xsi:type="dcterms:W3CDTF">2026-10-06T19:31:35Z</dcterms:modified>
</cp:coreProperties>
</file>